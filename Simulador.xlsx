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353" documentId="11_92485C45C1F39E42E268565A893E8C18510380CC" xr6:coauthVersionLast="47" xr6:coauthVersionMax="47" xr10:uidLastSave="{F571EEB6-0BAD-4987-953F-13EAF7025B09}"/>
  <bookViews>
    <workbookView xWindow="240" yWindow="105" windowWidth="14805" windowHeight="8010" firstSheet="1" xr2:uid="{00000000-000D-0000-FFFF-FFFF00000000}"/>
  </bookViews>
  <sheets>
    <sheet name="Ferramenta" sheetId="1" r:id="rId1"/>
    <sheet name="Apoio" sheetId="2" r:id="rId2"/>
  </sheets>
  <definedNames>
    <definedName name="Aporte">Ferramenta!$D$14:$D$14</definedName>
    <definedName name="Dividendos">Ferramenta!$D$18:$D$18</definedName>
    <definedName name="Patrimonio_Acumulado">Ferramenta!$D$17:$D$17</definedName>
    <definedName name="Rendimento_Carteira">Ferramenta!$D$10:$D$10</definedName>
    <definedName name="Salario">Ferramenta!$D$9:$D$9</definedName>
    <definedName name="Taxa_Mensal">Ferramenta!$D$16:$D$16</definedName>
    <definedName name="Tempo_Investido">Ferramenta!$D$15:$D$15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 a="1"/>
  <c r="D17" i="1"/>
  <c r="D11" i="1" a="1"/>
  <c r="D11" i="1"/>
  <c r="C32" i="1"/>
  <c r="C33" i="1"/>
  <c r="C34" i="1"/>
  <c r="C35" i="1"/>
  <c r="C36" i="1"/>
  <c r="C31" i="1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D32" i="1"/>
  <c r="D33" i="1"/>
  <c r="D34" i="1"/>
  <c r="D35" i="1"/>
  <c r="D36" i="1"/>
  <c r="D31" i="1"/>
  <c r="C22" i="1"/>
  <c r="D22" i="1" s="1"/>
  <c r="C23" i="1"/>
  <c r="D23" i="1" s="1"/>
  <c r="C24" i="1"/>
  <c r="D24" i="1" s="1"/>
  <c r="C25" i="1"/>
  <c r="D25" i="1" s="1"/>
  <c r="C21" i="1"/>
  <c r="D21" i="1" s="1"/>
  <c r="D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<sst xmlns="http://schemas.openxmlformats.org/spreadsheetml/2006/main" count="70" uniqueCount="34">
  <si>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</si>
  <si>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</si>
  <si>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</si>
  <si>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</si>
  <si>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</si>
  <si>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</si>
  <si>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</si>
  <si>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</si>
  <si>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</t>
  </si>
  <si>
    <t>Dividendos mensais</t>
  </si>
  <si>
    <t>Cenários</t>
  </si>
  <si>
    <t>Patrimônio</t>
  </si>
  <si>
    <t>Dividendo</t>
  </si>
  <si>
    <t>Quanto terei em 2 anos?</t>
  </si>
  <si>
    <t>Quanto terei em 5 anos?</t>
  </si>
  <si>
    <t>Quanto terei em 10 anos?</t>
  </si>
  <si>
    <t>Quanto terei em 20 anos?</t>
  </si>
  <si>
    <t>Quanto terei em 30 anos?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</si>
  <si>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</si>
  <si>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</si>
  <si>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</si>
  <si>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</si>
  <si>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</si>
  <si>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</si>
  <si>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</si>
  <si>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</si>
  <si>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</si>
  <si>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</si>
  <si>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</si>
  <si>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</t>
  </si>
  <si>
    <t>CHAVE</t>
  </si>
  <si>
    <t>%</t>
  </si>
  <si>
    <t>Moderado</t>
  </si>
  <si>
    <t>Arrojado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</si>
</sst>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ptos Display"/>
    </font>
    <font>
      <sz val="12"/>
      <color theme="1"/>
      <name val="Aptos Display"/>
    </font>
    <font>
      <sz val="11"/>
      <color theme="1"/>
      <name val="Aptos Display"/>
    </font>
    <font>
      <b/>
      <sz val="12"/>
      <color theme="1"/>
      <name val="Aptos Display"/>
    </font>
    <font>
      <b/>
      <sz val="11"/>
      <color theme="1"/>
      <name val="Aptos Display"/>
    </font>
    <font>
      <b/>
      <sz val="11"/>
      <color theme="0"/>
      <name val="Aptos Display"/>
    </font>
  </fonts>
  <fills count="9">
    <fill>
      <patternFill patternType="none"/>
    </fill>
    <fill>
      <patternFill patternType="gray125"/>
    </fill>
    <fill>
      <patternFill patternType="solid">
        <fgColor rgb="FF0A714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A300"/>
        <bgColor indexed="64"/>
      </patternFill>
    </fill>
    <fill>
      <patternFill patternType="solid">
        <fgColor rgb="FF00A17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medium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rgb="FF000000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rgb="FF000000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rgb="FF000000"/>
      </right>
      <top style="thin">
        <color theme="2"/>
      </top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medium">
        <color theme="1"/>
      </right>
      <top/>
      <bottom style="medium">
        <color theme="1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theme="2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64" fontId="3" fillId="0" borderId="6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4" fillId="0" borderId="0" xfId="0" applyFont="1"/>
    <xf numFmtId="164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0" fontId="5" fillId="0" borderId="8" xfId="0" applyNumberFormat="1" applyFont="1" applyBorder="1" applyAlignment="1">
      <alignment horizontal="center" vertical="center"/>
    </xf>
    <xf numFmtId="8" fontId="5" fillId="3" borderId="8" xfId="0" applyNumberFormat="1" applyFont="1" applyFill="1" applyBorder="1" applyAlignment="1">
      <alignment horizontal="center" vertical="center"/>
    </xf>
    <xf numFmtId="8" fontId="5" fillId="3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left" indent="2"/>
    </xf>
    <xf numFmtId="8" fontId="3" fillId="4" borderId="5" xfId="0" applyNumberFormat="1" applyFont="1" applyFill="1" applyBorder="1" applyAlignment="1">
      <alignment horizontal="center" vertical="center"/>
    </xf>
    <xf numFmtId="8" fontId="3" fillId="4" borderId="14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indent="2"/>
    </xf>
    <xf numFmtId="8" fontId="3" fillId="4" borderId="7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indent="2"/>
    </xf>
    <xf numFmtId="8" fontId="3" fillId="4" borderId="15" xfId="0" applyNumberFormat="1" applyFont="1" applyFill="1" applyBorder="1" applyAlignment="1">
      <alignment horizontal="center" vertical="center"/>
    </xf>
    <xf numFmtId="8" fontId="3" fillId="4" borderId="16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22" xfId="0" applyFont="1" applyFill="1" applyBorder="1" applyAlignment="1">
      <alignment horizontal="center"/>
    </xf>
    <xf numFmtId="9" fontId="4" fillId="3" borderId="22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indent="2"/>
    </xf>
    <xf numFmtId="0" fontId="3" fillId="0" borderId="18" xfId="0" applyFont="1" applyBorder="1" applyAlignment="1">
      <alignment horizontal="left" indent="2"/>
    </xf>
    <xf numFmtId="0" fontId="3" fillId="0" borderId="20" xfId="0" applyFont="1" applyBorder="1" applyAlignment="1">
      <alignment horizontal="left" indent="2"/>
    </xf>
    <xf numFmtId="0" fontId="3" fillId="0" borderId="21" xfId="0" applyFont="1" applyBorder="1" applyAlignment="1">
      <alignment horizontal="left" indent="2"/>
    </xf>
    <xf numFmtId="0" fontId="2" fillId="2" borderId="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indent="2"/>
    </xf>
    <xf numFmtId="0" fontId="5" fillId="3" borderId="18" xfId="0" applyFont="1" applyFill="1" applyBorder="1" applyAlignment="1">
      <alignment horizontal="left" indent="2"/>
    </xf>
    <xf numFmtId="0" fontId="5" fillId="3" borderId="20" xfId="0" applyFont="1" applyFill="1" applyBorder="1" applyAlignment="1">
      <alignment horizontal="left" indent="2"/>
    </xf>
    <xf numFmtId="0" fontId="5" fillId="3" borderId="21" xfId="0" applyFont="1" applyFill="1" applyBorder="1" applyAlignment="1">
      <alignment horizontal="left" indent="2"/>
    </xf>
    <xf numFmtId="0" fontId="4" fillId="3" borderId="0" xfId="0" applyFont="1" applyFill="1" applyBorder="1" applyAlignment="1">
      <alignment horizontal="center"/>
    </xf>
    <xf numFmtId="9" fontId="4" fillId="3" borderId="0" xfId="0" applyNumberFormat="1" applyFont="1" applyFill="1" applyBorder="1" applyAlignment="1">
      <alignment horizontal="center"/>
    </xf>
    <xf numFmtId="0" fontId="2" fillId="6" borderId="3" xfId="0" applyFont="1" applyFill="1" applyBorder="1"/>
    <xf numFmtId="0" fontId="2" fillId="6" borderId="19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7" borderId="17" xfId="0" applyFont="1" applyFill="1" applyBorder="1"/>
    <xf numFmtId="164" fontId="6" fillId="7" borderId="0" xfId="0" applyNumberFormat="1" applyFont="1" applyFill="1" applyBorder="1" applyAlignment="1">
      <alignment horizontal="center"/>
    </xf>
    <xf numFmtId="164" fontId="6" fillId="7" borderId="23" xfId="0" applyNumberFormat="1" applyFont="1" applyFill="1" applyBorder="1" applyAlignment="1">
      <alignment horizontal="center"/>
    </xf>
    <xf numFmtId="0" fontId="4" fillId="0" borderId="17" xfId="0" applyFont="1" applyBorder="1"/>
    <xf numFmtId="0" fontId="4" fillId="0" borderId="0" xfId="0" applyFont="1" applyBorder="1"/>
    <xf numFmtId="0" fontId="4" fillId="0" borderId="23" xfId="0" applyFont="1" applyBorder="1"/>
    <xf numFmtId="0" fontId="7" fillId="8" borderId="17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7" fillId="8" borderId="23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64" fontId="4" fillId="3" borderId="23" xfId="0" applyNumberFormat="1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164" fontId="4" fillId="3" borderId="24" xfId="0" applyNumberFormat="1" applyFont="1" applyFill="1" applyBorder="1" applyAlignment="1">
      <alignment horizontal="center"/>
    </xf>
    <xf numFmtId="10" fontId="3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A178"/>
      <color rgb="FFCCA300"/>
      <color rgb="FFF2F2F2"/>
      <color rgb="FF0A714E"/>
      <color rgb="FF52A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Ferramenta!$C$30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0A71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DE-429D-8CF5-E82466C24E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72DE-429D-8CF5-E82466C24E3B}"/>
              </c:ext>
            </c:extLst>
          </c:dPt>
          <c:dPt>
            <c:idx val="5"/>
            <c:bubble3D val="0"/>
            <c:spPr>
              <a:solidFill>
                <a:srgbClr val="52A6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2DE-429D-8CF5-E82466C24E3B}"/>
              </c:ext>
            </c:extLst>
          </c:dPt>
          <c:cat>
            <c:strRef>
              <c:f>Ferramenta!$B$31:$B$36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Ferramenta!$C$31:$C$36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A-4CE1-B686-E1379A10D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9525</xdr:colOff>
      <xdr:row>5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DDFD93-EB7E-FBA2-2DEA-938FFD425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1528" t="36790" r="11389" b="36543"/>
        <a:stretch>
          <a:fillRect/>
        </a:stretch>
      </xdr:blipFill>
      <xdr:spPr>
        <a:xfrm>
          <a:off x="228600" y="0"/>
          <a:ext cx="4867275" cy="1114425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36</xdr:row>
      <xdr:rowOff>142875</xdr:rowOff>
    </xdr:from>
    <xdr:to>
      <xdr:col>4</xdr:col>
      <xdr:colOff>19050</xdr:colOff>
      <xdr:row>53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FC440E-1C39-EB07-E2E9-668D74D891BB}"/>
            </a:ext>
            <a:ext uri="{147F2762-F138-4A5C-976F-8EAC2B608ADB}">
              <a16:predDERef xmlns:a16="http://schemas.microsoft.com/office/drawing/2014/main" pred="{D3DDFD93-EB7E-FBA2-2DEA-938FFD425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H36"/>
  <sheetViews>
    <sheetView showGridLines="0" tabSelected="1" topLeftCell="A21" workbookViewId="0">
      <selection activeCell="C27" sqref="C27:D27"/>
    </sheetView>
  </sheetViews>
  <sheetFormatPr defaultColWidth="0" defaultRowHeight="15"/>
  <cols>
    <col min="1" max="1" width="3.42578125" customWidth="1"/>
    <col min="2" max="2" width="33.42578125" customWidth="1"/>
    <col min="3" max="3" width="21.85546875" customWidth="1"/>
    <col min="4" max="4" width="17.5703125" customWidth="1"/>
    <col min="5" max="5" width="6.7109375" customWidth="1"/>
    <col min="6" max="6" width="14" hidden="1" customWidth="1"/>
    <col min="8" max="8" width="9.140625" hidden="1"/>
  </cols>
  <sheetData>
    <row r="8" spans="1:4" ht="30" customHeight="1">
      <c r="B8" s="26" t="s">
        <v>0</v>
      </c>
      <c r="C8" s="27"/>
      <c r="D8" s="28"/>
    </row>
    <row r="9" spans="1:4" ht="15.75">
      <c r="B9" s="29" t="s">
        <v>1</v>
      </c>
      <c r="C9" s="30"/>
      <c r="D9" s="2">
        <v>5000</v>
      </c>
    </row>
    <row r="10" spans="1:4" ht="15.75">
      <c r="B10" s="29" t="s">
        <v>2</v>
      </c>
      <c r="C10" s="30"/>
      <c r="D10" s="58">
        <v>8.8999999999999999E-3</v>
      </c>
    </row>
    <row r="11" spans="1:4" ht="15.75">
      <c r="B11" s="31" t="s">
        <v>3</v>
      </c>
      <c r="C11" s="32"/>
      <c r="D11" s="3" cm="1">
        <f t="array" ref="D11">Salario*30%</f>
        <v>1500</v>
      </c>
    </row>
    <row r="12" spans="1:4">
      <c r="B12" s="4"/>
      <c r="C12" s="4"/>
      <c r="D12" s="4"/>
    </row>
    <row r="13" spans="1:4" ht="18.75">
      <c r="B13" s="33" t="s">
        <v>4</v>
      </c>
      <c r="C13" s="34"/>
      <c r="D13" s="35"/>
    </row>
    <row r="14" spans="1:4" ht="15.75">
      <c r="A14" s="1">
        <v>2</v>
      </c>
      <c r="B14" s="29" t="s">
        <v>5</v>
      </c>
      <c r="C14" s="30"/>
      <c r="D14" s="5">
        <v>750</v>
      </c>
    </row>
    <row r="15" spans="1:4" ht="15.75">
      <c r="A15" s="1">
        <v>5</v>
      </c>
      <c r="B15" s="29" t="s">
        <v>6</v>
      </c>
      <c r="C15" s="30"/>
      <c r="D15" s="6">
        <v>5</v>
      </c>
    </row>
    <row r="16" spans="1:4" ht="15.75">
      <c r="A16" s="1">
        <v>10</v>
      </c>
      <c r="B16" s="29" t="s">
        <v>7</v>
      </c>
      <c r="C16" s="30"/>
      <c r="D16" s="7">
        <v>1.0789999999999999E-2</v>
      </c>
    </row>
    <row r="17" spans="1:4" ht="15.75">
      <c r="A17" s="1">
        <v>20</v>
      </c>
      <c r="B17" s="36" t="s">
        <v>8</v>
      </c>
      <c r="C17" s="37"/>
      <c r="D17" s="8" cm="1">
        <f t="array" ref="D17">FV(Taxa_Mensal,Tempo_Investido*12,Aporte*-1)</f>
        <v>62832.685498865736</v>
      </c>
    </row>
    <row r="18" spans="1:4" ht="15.75">
      <c r="A18" s="1">
        <v>30</v>
      </c>
      <c r="B18" s="38" t="s">
        <v>9</v>
      </c>
      <c r="C18" s="39"/>
      <c r="D18" s="9">
        <f>D17*D16</f>
        <v>677.96467653276125</v>
      </c>
    </row>
    <row r="19" spans="1:4">
      <c r="B19" s="4"/>
      <c r="C19" s="4"/>
      <c r="D19" s="4"/>
    </row>
    <row r="20" spans="1:4" ht="18.75">
      <c r="B20" s="10" t="s">
        <v>10</v>
      </c>
      <c r="C20" s="11" t="s">
        <v>11</v>
      </c>
      <c r="D20" s="12" t="s">
        <v>12</v>
      </c>
    </row>
    <row r="21" spans="1:4" ht="15.75">
      <c r="B21" s="13" t="s">
        <v>13</v>
      </c>
      <c r="C21" s="14">
        <f>FV($D$16,A14*12,$D$14*-1)</f>
        <v>20420.720473233912</v>
      </c>
      <c r="D21" s="15">
        <f>C21*$D$10</f>
        <v>181.74441221178182</v>
      </c>
    </row>
    <row r="22" spans="1:4" ht="15.75">
      <c r="B22" s="16" t="s">
        <v>14</v>
      </c>
      <c r="C22" s="17">
        <f>FV($D$16,A15*12,$D$14*-1)</f>
        <v>62832.685498865736</v>
      </c>
      <c r="D22" s="15">
        <f>C22*$D$10</f>
        <v>559.21090093990506</v>
      </c>
    </row>
    <row r="23" spans="1:4" ht="15.75">
      <c r="B23" s="16" t="s">
        <v>15</v>
      </c>
      <c r="C23" s="17">
        <f>FV($D$16,A16*12,$D$14*-1)</f>
        <v>182463.15939762915</v>
      </c>
      <c r="D23" s="15">
        <f>C23*$D$10</f>
        <v>1623.9221186388993</v>
      </c>
    </row>
    <row r="24" spans="1:4" ht="15.75">
      <c r="B24" s="16" t="s">
        <v>16</v>
      </c>
      <c r="C24" s="17">
        <f>FV($D$16,A17*12,$D$14*-1)</f>
        <v>843898.8000728105</v>
      </c>
      <c r="D24" s="15">
        <f>C24*$D$10</f>
        <v>7510.6993206480138</v>
      </c>
    </row>
    <row r="25" spans="1:4" ht="15.75">
      <c r="B25" s="18" t="s">
        <v>17</v>
      </c>
      <c r="C25" s="19">
        <f>FV($D$16,A18*12,$D$14*-1)</f>
        <v>3241627.2412535357</v>
      </c>
      <c r="D25" s="20">
        <f>C25*$D$10</f>
        <v>28850.482447156468</v>
      </c>
    </row>
    <row r="26" spans="1:4">
      <c r="B26" s="4"/>
      <c r="C26" s="4"/>
      <c r="D26" s="4"/>
    </row>
    <row r="27" spans="1:4" ht="18.75">
      <c r="B27" s="42" t="s">
        <v>18</v>
      </c>
      <c r="C27" s="43" t="s">
        <v>19</v>
      </c>
      <c r="D27" s="44"/>
    </row>
    <row r="28" spans="1:4" ht="15.75">
      <c r="B28" s="45" t="s">
        <v>20</v>
      </c>
      <c r="C28" s="46">
        <v>500</v>
      </c>
      <c r="D28" s="47"/>
    </row>
    <row r="29" spans="1:4">
      <c r="B29" s="48"/>
      <c r="C29" s="49"/>
      <c r="D29" s="50"/>
    </row>
    <row r="30" spans="1:4">
      <c r="B30" s="51" t="s">
        <v>21</v>
      </c>
      <c r="C30" s="52" t="s">
        <v>22</v>
      </c>
      <c r="D30" s="53" t="s">
        <v>23</v>
      </c>
    </row>
    <row r="31" spans="1:4">
      <c r="B31" s="54" t="s">
        <v>24</v>
      </c>
      <c r="C31" s="41">
        <f>VLOOKUP($C$27&amp;"-"&amp;B31,Apoio!A3:D21,4,FALSE)</f>
        <v>0.3</v>
      </c>
      <c r="D31" s="55">
        <f>C31*$C$28</f>
        <v>150</v>
      </c>
    </row>
    <row r="32" spans="1:4">
      <c r="B32" s="54" t="s">
        <v>25</v>
      </c>
      <c r="C32" s="41">
        <f>VLOOKUP($C$27&amp;"-"&amp;B32,Apoio!A4:D22,4,FALSE)</f>
        <v>0.5</v>
      </c>
      <c r="D32" s="55">
        <f t="shared" ref="D32:D36" si="0">C32*$C$28</f>
        <v>250</v>
      </c>
    </row>
    <row r="33" spans="2:4">
      <c r="B33" s="54" t="s">
        <v>26</v>
      </c>
      <c r="C33" s="41">
        <f>VLOOKUP($C$27&amp;"-"&amp;B33,Apoio!A5:D23,4,FALSE)</f>
        <v>0.1</v>
      </c>
      <c r="D33" s="55">
        <f t="shared" si="0"/>
        <v>50</v>
      </c>
    </row>
    <row r="34" spans="2:4">
      <c r="B34" s="54" t="s">
        <v>27</v>
      </c>
      <c r="C34" s="41">
        <f>VLOOKUP($C$27&amp;"-"&amp;B34,Apoio!A6:D24,4,FALSE)</f>
        <v>0.1</v>
      </c>
      <c r="D34" s="55">
        <f t="shared" si="0"/>
        <v>50</v>
      </c>
    </row>
    <row r="35" spans="2:4">
      <c r="B35" s="54" t="s">
        <v>28</v>
      </c>
      <c r="C35" s="41">
        <f>VLOOKUP($C$27&amp;"-"&amp;B35,Apoio!A7:D25,4,FALSE)</f>
        <v>0</v>
      </c>
      <c r="D35" s="55">
        <f t="shared" si="0"/>
        <v>0</v>
      </c>
    </row>
    <row r="36" spans="2:4">
      <c r="B36" s="56" t="s">
        <v>29</v>
      </c>
      <c r="C36" s="25">
        <f>VLOOKUP($C$27&amp;"-"&amp;B36,Apoio!A8:D26,4,FALSE)</f>
        <v>0</v>
      </c>
      <c r="D36" s="57">
        <f t="shared" si="0"/>
        <v>0</v>
      </c>
    </row>
  </sheetData>
  <mergeCells count="12">
    <mergeCell ref="C28:D28"/>
    <mergeCell ref="B15:C15"/>
    <mergeCell ref="B16:C16"/>
    <mergeCell ref="B17:C17"/>
    <mergeCell ref="B18:C18"/>
    <mergeCell ref="B8:D8"/>
    <mergeCell ref="C27:D27"/>
    <mergeCell ref="B9:C9"/>
    <mergeCell ref="B10:C10"/>
    <mergeCell ref="B11:C11"/>
    <mergeCell ref="B13:D13"/>
    <mergeCell ref="B14:C14"/>
  </mergeCells>
  <dataValidations count="1">
    <dataValidation type="list" allowBlank="1" showInputMessage="1" showErrorMessage="1" sqref="C27:D27" xr:uid="{19C472FF-86DC-4F42-BBE0-F25C1E1ED1F2}">
      <formula1>"Conservador, Moderado, Arrojado"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8EB2-59BC-46F9-88AF-748463BD9C63}">
  <dimension ref="A2:D21"/>
  <sheetViews>
    <sheetView workbookViewId="0">
      <selection activeCell="D14" sqref="D14"/>
    </sheetView>
  </sheetViews>
  <sheetFormatPr defaultRowHeight="15"/>
  <cols>
    <col min="1" max="1" width="28.5703125" bestFit="1" customWidth="1"/>
    <col min="2" max="2" width="12.140625" bestFit="1" customWidth="1"/>
    <col min="3" max="3" width="16.42578125" bestFit="1" customWidth="1"/>
  </cols>
  <sheetData>
    <row r="2" spans="1:4">
      <c r="A2" s="23"/>
    </row>
    <row r="3" spans="1:4">
      <c r="A3" s="21" t="s">
        <v>30</v>
      </c>
      <c r="B3" s="21" t="s">
        <v>18</v>
      </c>
      <c r="C3" s="21" t="s">
        <v>21</v>
      </c>
      <c r="D3" s="21" t="s">
        <v>31</v>
      </c>
    </row>
    <row r="4" spans="1:4">
      <c r="A4" s="40" t="str">
        <f>B4&amp;"-"&amp;C4</f>
        <v>Conservador-Papel</v>
      </c>
      <c r="B4" s="40" t="s">
        <v>19</v>
      </c>
      <c r="C4" s="40" t="s">
        <v>24</v>
      </c>
      <c r="D4" s="41">
        <v>0.3</v>
      </c>
    </row>
    <row r="5" spans="1:4">
      <c r="A5" s="40" t="str">
        <f t="shared" ref="A5:A21" si="0">B5&amp;"-"&amp;C5</f>
        <v>Conservador-Tijolo</v>
      </c>
      <c r="B5" s="40" t="s">
        <v>19</v>
      </c>
      <c r="C5" s="40" t="s">
        <v>25</v>
      </c>
      <c r="D5" s="41">
        <v>0.5</v>
      </c>
    </row>
    <row r="6" spans="1:4">
      <c r="A6" s="40" t="str">
        <f t="shared" si="0"/>
        <v>Conservador-Híbrido</v>
      </c>
      <c r="B6" s="40" t="s">
        <v>19</v>
      </c>
      <c r="C6" s="40" t="s">
        <v>26</v>
      </c>
      <c r="D6" s="41">
        <v>0.1</v>
      </c>
    </row>
    <row r="7" spans="1:4">
      <c r="A7" s="40" t="str">
        <f t="shared" si="0"/>
        <v>Conservador-FOFs</v>
      </c>
      <c r="B7" s="40" t="s">
        <v>19</v>
      </c>
      <c r="C7" s="40" t="s">
        <v>27</v>
      </c>
      <c r="D7" s="41">
        <v>0.1</v>
      </c>
    </row>
    <row r="8" spans="1:4">
      <c r="A8" s="40" t="str">
        <f t="shared" si="0"/>
        <v>Conservador-Desenvolvimento</v>
      </c>
      <c r="B8" s="40" t="s">
        <v>19</v>
      </c>
      <c r="C8" s="40" t="s">
        <v>28</v>
      </c>
      <c r="D8" s="41">
        <v>0</v>
      </c>
    </row>
    <row r="9" spans="1:4">
      <c r="A9" s="24" t="str">
        <f t="shared" si="0"/>
        <v>Conservador-Hotelaria</v>
      </c>
      <c r="B9" s="24" t="s">
        <v>19</v>
      </c>
      <c r="C9" s="24" t="s">
        <v>29</v>
      </c>
      <c r="D9" s="25">
        <v>0</v>
      </c>
    </row>
    <row r="10" spans="1:4">
      <c r="A10" s="22" t="str">
        <f t="shared" si="0"/>
        <v>Moderado-Papel</v>
      </c>
      <c r="B10" s="22" t="s">
        <v>32</v>
      </c>
      <c r="C10" s="22" t="s">
        <v>24</v>
      </c>
      <c r="D10" s="41">
        <v>0.32</v>
      </c>
    </row>
    <row r="11" spans="1:4">
      <c r="A11" s="22" t="str">
        <f t="shared" si="0"/>
        <v>Moderado-Tijolo</v>
      </c>
      <c r="B11" s="22" t="s">
        <v>32</v>
      </c>
      <c r="C11" s="22" t="s">
        <v>25</v>
      </c>
      <c r="D11" s="41">
        <v>0.35</v>
      </c>
    </row>
    <row r="12" spans="1:4">
      <c r="A12" s="22" t="str">
        <f t="shared" si="0"/>
        <v>Moderado-Híbrido</v>
      </c>
      <c r="B12" s="22" t="s">
        <v>32</v>
      </c>
      <c r="C12" s="22" t="s">
        <v>26</v>
      </c>
      <c r="D12" s="41">
        <v>0.08</v>
      </c>
    </row>
    <row r="13" spans="1:4">
      <c r="A13" s="22" t="str">
        <f t="shared" si="0"/>
        <v>Moderado-FOFs</v>
      </c>
      <c r="B13" s="22" t="s">
        <v>32</v>
      </c>
      <c r="C13" s="22" t="s">
        <v>27</v>
      </c>
      <c r="D13" s="41">
        <v>0.05</v>
      </c>
    </row>
    <row r="14" spans="1:4">
      <c r="A14" s="40" t="str">
        <f t="shared" si="0"/>
        <v>Moderado-Desenvolvimento</v>
      </c>
      <c r="B14" s="40" t="s">
        <v>32</v>
      </c>
      <c r="C14" s="40" t="s">
        <v>28</v>
      </c>
      <c r="D14" s="41">
        <v>0.1</v>
      </c>
    </row>
    <row r="15" spans="1:4">
      <c r="A15" s="24" t="str">
        <f t="shared" si="0"/>
        <v>Moderado-Hotelaria</v>
      </c>
      <c r="B15" s="24" t="s">
        <v>32</v>
      </c>
      <c r="C15" s="24" t="s">
        <v>29</v>
      </c>
      <c r="D15" s="25">
        <v>0.1</v>
      </c>
    </row>
    <row r="16" spans="1:4">
      <c r="A16" s="22" t="str">
        <f t="shared" si="0"/>
        <v>Arrojado-Papel</v>
      </c>
      <c r="B16" s="22" t="s">
        <v>33</v>
      </c>
      <c r="C16" s="22" t="s">
        <v>24</v>
      </c>
      <c r="D16" s="41">
        <v>0.5</v>
      </c>
    </row>
    <row r="17" spans="1:4">
      <c r="A17" s="22" t="str">
        <f t="shared" si="0"/>
        <v>Arrojado-Tijolo</v>
      </c>
      <c r="B17" s="22" t="s">
        <v>33</v>
      </c>
      <c r="C17" s="22" t="s">
        <v>25</v>
      </c>
      <c r="D17" s="41">
        <v>0.1</v>
      </c>
    </row>
    <row r="18" spans="1:4">
      <c r="A18" s="22" t="str">
        <f t="shared" si="0"/>
        <v>Arrojado-Híbrido</v>
      </c>
      <c r="B18" s="22" t="s">
        <v>33</v>
      </c>
      <c r="C18" s="22" t="s">
        <v>26</v>
      </c>
      <c r="D18" s="41">
        <v>0.05</v>
      </c>
    </row>
    <row r="19" spans="1:4">
      <c r="A19" s="22" t="str">
        <f t="shared" si="0"/>
        <v>Arrojado-FOFs</v>
      </c>
      <c r="B19" s="22" t="s">
        <v>33</v>
      </c>
      <c r="C19" s="22" t="s">
        <v>27</v>
      </c>
      <c r="D19" s="41">
        <v>0.05</v>
      </c>
    </row>
    <row r="20" spans="1:4">
      <c r="A20" s="22" t="str">
        <f t="shared" si="0"/>
        <v>Arrojado-Desenvolvimento</v>
      </c>
      <c r="B20" s="22" t="s">
        <v>33</v>
      </c>
      <c r="C20" s="22" t="s">
        <v>28</v>
      </c>
      <c r="D20" s="41">
        <v>0.2</v>
      </c>
    </row>
    <row r="21" spans="1:4">
      <c r="A21" s="22" t="str">
        <f t="shared" si="0"/>
        <v>Arrojado-Hotelaria</v>
      </c>
      <c r="B21" s="22" t="s">
        <v>33</v>
      </c>
      <c r="C21" s="22" t="s">
        <v>29</v>
      </c>
      <c r="D21" s="4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Silvio Godeguez</cp:lastModifiedBy>
  <cp:revision/>
  <dcterms:created xsi:type="dcterms:W3CDTF">2026-09-21T22:11:47Z</dcterms:created>
  <dcterms:modified xsi:type="dcterms:W3CDTF">2026-10-05T23:46:18Z</dcterms:modified>
  <cp:category/>
  <cp:contentStatus/>
</cp:coreProperties>
</file>